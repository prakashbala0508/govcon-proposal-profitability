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irect_Rates" sheetId="2" state="visible" r:id="rId2"/>
    <sheet xmlns:r="http://schemas.openxmlformats.org/officeDocument/2006/relationships" name="Cost_Build" sheetId="3" state="visible" r:id="rId3"/>
    <sheet xmlns:r="http://schemas.openxmlformats.org/officeDocument/2006/relationships" name="Profi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$#,##0;($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00FF"/>
      <sz val="10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003865"/>
        <bgColor rgb="00003865"/>
      </patternFill>
    </fill>
    <fill>
      <patternFill patternType="solid">
        <fgColor rgb="001F4E79"/>
        <bgColor rgb="001F4E79"/>
      </patternFill>
    </fill>
    <fill>
      <patternFill patternType="solid">
        <fgColor rgb="00E8EFF6"/>
        <bgColor rgb="00E8EFF6"/>
      </patternFill>
    </fill>
    <fill>
      <patternFill patternType="solid">
        <fgColor rgb="00FFF3CD"/>
        <bgColor rgb="00FFF3CD"/>
      </patternFill>
    </fill>
    <fill>
      <patternFill patternType="solid">
        <fgColor rgb="00F2F2F2"/>
        <bgColor rgb="00F2F2F2"/>
      </patternFill>
    </fill>
    <fill>
      <patternFill patternType="solid">
        <fgColor rgb="00EAF3E0"/>
        <bgColor rgb="00EAF3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3865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164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164" fontId="9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indent="1"/>
    </xf>
    <xf numFmtId="164" fontId="9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1"/>
    </xf>
    <xf numFmtId="164" fontId="6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164" fontId="6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2" customWidth="1" min="3" max="3"/>
  </cols>
  <sheetData>
    <row r="1" ht="30" customHeight="1">
      <c r="A1" s="1" t="inlineStr">
        <is>
          <t>GovCon Proposal Cost Build &amp; Program Profitability Model</t>
        </is>
      </c>
    </row>
    <row r="2" ht="18" customHeight="1">
      <c r="A2" s="2" t="inlineStr">
        <is>
          <t>Built by Prakash Balasubramanian  |  Data: USASpending.gov + DCAA Benchmarks + Modeled Synthetic Actuals</t>
        </is>
      </c>
    </row>
    <row r="3" ht="8" customHeight="1"/>
    <row r="4" ht="18" customHeight="1">
      <c r="A4" s="3" t="inlineStr">
        <is>
          <t>PURPOSE</t>
        </is>
      </c>
    </row>
    <row r="5" ht="28" customHeight="1">
      <c r="A5" s="4" t="inlineStr">
        <is>
          <t>Item</t>
        </is>
      </c>
      <c r="B5" s="4" t="inlineStr">
        <is>
          <t>Detail</t>
        </is>
      </c>
      <c r="C5" s="4" t="inlineStr">
        <is>
          <t>Notes</t>
        </is>
      </c>
    </row>
    <row r="6" ht="28" customHeight="1">
      <c r="A6" s="5" t="inlineStr">
        <is>
          <t>What this model does</t>
        </is>
      </c>
      <c r="B6" s="6" t="inlineStr">
        <is>
          <t>Replicates proposal cost buildup and program profitability analysis performed by a Project Financial Analyst in a GovCon environment.</t>
        </is>
      </c>
      <c r="C6" s="6" t="inlineStr">
        <is>
          <t>Covers direct labor, indirect stack, fee by contract type, scenario analysis, and margin tracking.</t>
        </is>
      </c>
    </row>
    <row r="7" ht="28" customHeight="1">
      <c r="A7" s="7" t="inlineStr">
        <is>
          <t>Who would use this</t>
        </is>
      </c>
      <c r="B7" s="8" t="inlineStr">
        <is>
          <t>Project Financial Analyst, Program Manager, Pricing Lead</t>
        </is>
      </c>
      <c r="C7" s="8" t="inlineStr">
        <is>
          <t>Supports proposal submission, EAC updates, and monthly financial reviews.</t>
        </is>
      </c>
    </row>
    <row r="8" ht="8" customHeight="1"/>
    <row r="9" ht="18" customHeight="1">
      <c r="A9" s="3" t="inlineStr">
        <is>
          <t>DATA SOURCES — WHAT IS REAL (Public Records)</t>
        </is>
      </c>
    </row>
    <row r="10" ht="28" customHeight="1">
      <c r="A10" s="4" t="inlineStr">
        <is>
          <t>Data Element</t>
        </is>
      </c>
      <c r="B10" s="4" t="inlineStr">
        <is>
          <t>Value / Range</t>
        </is>
      </c>
      <c r="C10" s="4" t="inlineStr">
        <is>
          <t>Source</t>
        </is>
      </c>
    </row>
    <row r="11" ht="20" customHeight="1">
      <c r="A11" s="5" t="inlineStr">
        <is>
          <t>Contract award numbers</t>
        </is>
      </c>
      <c r="B11" s="6" t="inlineStr">
        <is>
          <t>75FCMC22F0046 | 70T02021F7560N005 | 75N97023F00001</t>
        </is>
      </c>
      <c r="C11" s="9" t="inlineStr">
        <is>
          <t>USASpending.gov</t>
        </is>
      </c>
    </row>
    <row r="12" ht="20" customHeight="1">
      <c r="A12" s="7" t="inlineStr">
        <is>
          <t>Awarding agencies</t>
        </is>
      </c>
      <c r="B12" s="8" t="inlineStr">
        <is>
          <t>HHS/CMS | Dept. of Homeland Security | HHS/NIH</t>
        </is>
      </c>
      <c r="C12" s="10" t="inlineStr">
        <is>
          <t>USASpending.gov</t>
        </is>
      </c>
    </row>
    <row r="13" ht="20" customHeight="1">
      <c r="A13" s="5" t="inlineStr">
        <is>
          <t>Contract ceiling values</t>
        </is>
      </c>
      <c r="B13" s="6" t="inlineStr">
        <is>
          <t>$8.07M | $1.01M | $7.34M</t>
        </is>
      </c>
      <c r="C13" s="9" t="inlineStr">
        <is>
          <t>USASpending.gov cumulative obligations</t>
        </is>
      </c>
    </row>
    <row r="14" ht="20" customHeight="1">
      <c r="A14" s="7" t="inlineStr">
        <is>
          <t>NAICS codes</t>
        </is>
      </c>
      <c r="B14" s="8" t="inlineStr">
        <is>
          <t>541512 | 541611 | 541512</t>
        </is>
      </c>
      <c r="C14" s="10" t="inlineStr">
        <is>
          <t>USASpending.gov</t>
        </is>
      </c>
    </row>
    <row r="15" ht="20" customHeight="1">
      <c r="A15" s="5" t="inlineStr">
        <is>
          <t>Fringe rate range</t>
        </is>
      </c>
      <c r="B15" s="6" t="inlineStr">
        <is>
          <t>29% to 36%</t>
        </is>
      </c>
      <c r="C15" s="9" t="inlineStr">
        <is>
          <t>DCAA provisional rate guidance NAICS 541</t>
        </is>
      </c>
    </row>
    <row r="16" ht="20" customHeight="1">
      <c r="A16" s="7" t="inlineStr">
        <is>
          <t>Overhead rate range</t>
        </is>
      </c>
      <c r="B16" s="8" t="inlineStr">
        <is>
          <t>41% to 51%</t>
        </is>
      </c>
      <c r="C16" s="10" t="inlineStr">
        <is>
          <t>DCAA provisional rate guidance NAICS 541</t>
        </is>
      </c>
    </row>
    <row r="17" ht="20" customHeight="1">
      <c r="A17" s="5" t="inlineStr">
        <is>
          <t>G&amp;A rate range</t>
        </is>
      </c>
      <c r="B17" s="6" t="inlineStr">
        <is>
          <t>10% to 15%</t>
        </is>
      </c>
      <c r="C17" s="9" t="inlineStr">
        <is>
          <t>DCAA provisional rate guidance NAICS 541</t>
        </is>
      </c>
    </row>
    <row r="18" ht="20" customHeight="1">
      <c r="A18" s="7" t="inlineStr">
        <is>
          <t>CPFF fee cap</t>
        </is>
      </c>
      <c r="B18" s="8" t="inlineStr">
        <is>
          <t>7% per FAR 15.404-4</t>
        </is>
      </c>
      <c r="C18" s="10" t="inlineStr">
        <is>
          <t>Federal Acquisition Regulation</t>
        </is>
      </c>
    </row>
    <row r="19" ht="20" customHeight="1">
      <c r="A19" s="5" t="inlineStr">
        <is>
          <t>Labor bill rate benchmarks</t>
        </is>
      </c>
      <c r="B19" s="6" t="inlineStr">
        <is>
          <t>GSA Schedule SIN rates for IT and consulting</t>
        </is>
      </c>
      <c r="C19" s="9" t="inlineStr">
        <is>
          <t>GSA Multiple Award Schedule</t>
        </is>
      </c>
    </row>
    <row r="20" ht="8" customHeight="1"/>
    <row r="21" ht="18" customHeight="1">
      <c r="A21" s="3" t="inlineStr">
        <is>
          <t>DATA SOURCES — WHAT IS SYNTHETIC (Modeled)</t>
        </is>
      </c>
    </row>
    <row r="22" ht="28" customHeight="1">
      <c r="A22" s="4" t="inlineStr">
        <is>
          <t>Data Element</t>
        </is>
      </c>
      <c r="B22" s="4" t="inlineStr">
        <is>
          <t>Why Synthetic</t>
        </is>
      </c>
      <c r="C22" s="4" t="inlineStr">
        <is>
          <t>Analogy to Live Environment</t>
        </is>
      </c>
    </row>
    <row r="23" ht="22" customHeight="1">
      <c r="A23" s="11" t="inlineStr">
        <is>
          <t>Monthly cost actuals</t>
        </is>
      </c>
      <c r="B23" s="12" t="inlineStr">
        <is>
          <t>Internal contractor records — never publicly disclosed</t>
        </is>
      </c>
      <c r="C23" s="12" t="inlineStr">
        <is>
          <t>Data pulled from Deltek Costpoint each period</t>
        </is>
      </c>
    </row>
    <row r="24" ht="22" customHeight="1">
      <c r="A24" s="7" t="inlineStr">
        <is>
          <t>Labor hours by category</t>
        </is>
      </c>
      <c r="B24" s="8" t="inlineStr">
        <is>
          <t>Internal timesheet data — proprietary</t>
        </is>
      </c>
      <c r="C24" s="8" t="inlineStr">
        <is>
          <t>Timesheet system such as Deltek Time and Expense</t>
        </is>
      </c>
    </row>
    <row r="25" ht="22" customHeight="1">
      <c r="A25" s="11" t="inlineStr">
        <is>
          <t>EAC projections</t>
        </is>
      </c>
      <c r="B25" s="12" t="inlineStr">
        <is>
          <t>Internal monthly EAC updates — not reported to USASpending</t>
        </is>
      </c>
      <c r="C25" s="12" t="inlineStr">
        <is>
          <t>Monthly EAC submitted to Program Manager</t>
        </is>
      </c>
    </row>
    <row r="26" ht="22" customHeight="1">
      <c r="A26" s="7" t="inlineStr">
        <is>
          <t>Subcontractor cost breakdown</t>
        </is>
      </c>
      <c r="B26" s="8" t="inlineStr">
        <is>
          <t>Internal invoice data — proprietary</t>
        </is>
      </c>
      <c r="C26" s="8" t="inlineStr">
        <is>
          <t>Subcontractor invoice reconciliation in Costpoint</t>
        </is>
      </c>
    </row>
    <row r="27" ht="22" customHeight="1">
      <c r="A27" s="11" t="inlineStr">
        <is>
          <t>Budget by period</t>
        </is>
      </c>
      <c r="B27" s="12" t="inlineStr">
        <is>
          <t>Internal program baseline — proprietary</t>
        </is>
      </c>
      <c r="C27" s="12" t="inlineStr">
        <is>
          <t>Contract budget loaded into Costpoint at award</t>
        </is>
      </c>
    </row>
    <row r="28" ht="8" customHeight="1"/>
    <row r="29" ht="18" customHeight="1">
      <c r="A29" s="3" t="inlineStr">
        <is>
          <t>WORKBOOK GUIDE</t>
        </is>
      </c>
    </row>
    <row r="30" ht="28" customHeight="1">
      <c r="A30" s="4" t="inlineStr">
        <is>
          <t>Tab</t>
        </is>
      </c>
      <c r="B30" s="4" t="inlineStr">
        <is>
          <t>Contents</t>
        </is>
      </c>
      <c r="C30" s="4" t="inlineStr">
        <is>
          <t>Primary User</t>
        </is>
      </c>
    </row>
    <row r="31" ht="26" customHeight="1">
      <c r="A31" s="5" t="inlineStr">
        <is>
          <t>Indirect_Rates</t>
        </is>
      </c>
      <c r="B31" s="6" t="inlineStr">
        <is>
          <t>Rate inputs (Fringe, Overhead, G&amp;A, Fee). Change here — all tabs update automatically.</t>
        </is>
      </c>
      <c r="C31" s="6" t="inlineStr">
        <is>
          <t>Financial Analyst / Pricing Lead</t>
        </is>
      </c>
    </row>
    <row r="32" ht="26" customHeight="1">
      <c r="A32" s="7" t="inlineStr">
        <is>
          <t>Cost_Build</t>
        </is>
      </c>
      <c r="B32" s="8" t="inlineStr">
        <is>
          <t>Full proposal cost buildup: direct labor, indirect stack, fee by contract type, scenario analysis.</t>
        </is>
      </c>
      <c r="C32" s="8" t="inlineStr">
        <is>
          <t>Financial Analyst / Program Manager</t>
        </is>
      </c>
    </row>
    <row r="33" ht="26" customHeight="1">
      <c r="A33" s="5" t="inlineStr">
        <is>
          <t>Profitability</t>
        </is>
      </c>
      <c r="B33" s="6" t="inlineStr">
        <is>
          <t>Program-level margin tracking across 3 real contracts. Revenue, cost, gross margin, fee at risk.</t>
        </is>
      </c>
      <c r="C33" s="6" t="inlineStr">
        <is>
          <t>Program Manager / Finance Director</t>
        </is>
      </c>
    </row>
    <row r="34" ht="8" customHeight="1"/>
    <row r="35" ht="18" customHeight="1">
      <c r="A35" s="3" t="inlineStr">
        <is>
          <t>COLOR CODING LEGEND</t>
        </is>
      </c>
    </row>
    <row r="36" ht="17" customHeight="1">
      <c r="A36" s="13" t="inlineStr">
        <is>
          <t>Blue text</t>
        </is>
      </c>
      <c r="B36" s="14" t="inlineStr">
        <is>
          <t>Hardcoded input — number you can change</t>
        </is>
      </c>
    </row>
    <row r="37" ht="17" customHeight="1">
      <c r="A37" s="15" t="inlineStr">
        <is>
          <t>Black text</t>
        </is>
      </c>
      <c r="B37" s="14" t="inlineStr">
        <is>
          <t>Formula or calculation — do not overwrite</t>
        </is>
      </c>
    </row>
    <row r="38" ht="17" customHeight="1">
      <c r="A38" s="16" t="inlineStr">
        <is>
          <t>Green text</t>
        </is>
      </c>
      <c r="B38" s="14" t="inlineStr">
        <is>
          <t>Cross-sheet link from another tab</t>
        </is>
      </c>
    </row>
  </sheetData>
  <mergeCells count="10">
    <mergeCell ref="B38:C38"/>
    <mergeCell ref="A1:C1"/>
    <mergeCell ref="B37:C37"/>
    <mergeCell ref="A9:C9"/>
    <mergeCell ref="B36:C36"/>
    <mergeCell ref="A21:C21"/>
    <mergeCell ref="A35:C35"/>
    <mergeCell ref="A29:C29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30" customWidth="1" min="5" max="5"/>
    <col width="44" customWidth="1" min="6" max="6"/>
  </cols>
  <sheetData>
    <row r="1" ht="30" customHeight="1">
      <c r="A1" s="1" t="inlineStr">
        <is>
          <t>Indirect Rate Assumptions — Adjust Rates Here to Update All Tabs</t>
        </is>
      </c>
    </row>
    <row r="2" ht="18" customHeight="1">
      <c r="A2" s="2" t="inlineStr">
        <is>
          <t>Rates benchmarked to DCAA provisional rate guidance for NAICS 541 Professional Services</t>
        </is>
      </c>
    </row>
    <row r="3" ht="8" customHeight="1"/>
    <row r="4" ht="18" customHeight="1">
      <c r="A4" s="3" t="inlineStr">
        <is>
          <t>INDIRECT RATES  |  Blue = hardcoded input you can change</t>
        </is>
      </c>
    </row>
    <row r="5" ht="28" customHeight="1">
      <c r="A5" s="4" t="inlineStr">
        <is>
          <t>Rate Type</t>
        </is>
      </c>
      <c r="B5" s="4" t="inlineStr">
        <is>
          <t>Current Rate</t>
        </is>
      </c>
      <c r="C5" s="4" t="inlineStr">
        <is>
          <t>Low Scenario</t>
        </is>
      </c>
      <c r="D5" s="4" t="inlineStr">
        <is>
          <t>High Scenario</t>
        </is>
      </c>
      <c r="E5" s="4" t="inlineStr">
        <is>
          <t>DCAA Benchmark Range</t>
        </is>
      </c>
      <c r="F5" s="4" t="inlineStr">
        <is>
          <t>Source</t>
        </is>
      </c>
    </row>
    <row r="6" ht="18" customHeight="1">
      <c r="A6" s="17" t="inlineStr">
        <is>
          <t>Fringe</t>
        </is>
      </c>
      <c r="B6" s="18" t="n">
        <v>0.32</v>
      </c>
      <c r="C6" s="18" t="n">
        <v>0.29</v>
      </c>
      <c r="D6" s="18" t="n">
        <v>0.36</v>
      </c>
      <c r="E6" s="19" t="inlineStr">
        <is>
          <t>29% to 36%</t>
        </is>
      </c>
      <c r="F6" s="20" t="inlineStr">
        <is>
          <t>DCAA provisional rate guidance NAICS 541</t>
        </is>
      </c>
    </row>
    <row r="7" ht="18" customHeight="1">
      <c r="A7" s="21" t="inlineStr">
        <is>
          <t>Overhead</t>
        </is>
      </c>
      <c r="B7" s="22" t="n">
        <v>0.45</v>
      </c>
      <c r="C7" s="22" t="n">
        <v>0.41</v>
      </c>
      <c r="D7" s="22" t="n">
        <v>0.51</v>
      </c>
      <c r="E7" s="14" t="inlineStr">
        <is>
          <t>41% to 51%</t>
        </is>
      </c>
      <c r="F7" s="23" t="inlineStr">
        <is>
          <t>DCAA provisional rate guidance NAICS 541</t>
        </is>
      </c>
    </row>
    <row r="8" ht="18" customHeight="1">
      <c r="A8" s="17" t="inlineStr">
        <is>
          <t>G&amp;A</t>
        </is>
      </c>
      <c r="B8" s="18" t="n">
        <v>0.12</v>
      </c>
      <c r="C8" s="18" t="n">
        <v>0.1</v>
      </c>
      <c r="D8" s="18" t="n">
        <v>0.15</v>
      </c>
      <c r="E8" s="19" t="inlineStr">
        <is>
          <t>10% to 15%</t>
        </is>
      </c>
      <c r="F8" s="20" t="inlineStr">
        <is>
          <t>DCAA provisional rate guidance NAICS 541</t>
        </is>
      </c>
    </row>
    <row r="9" ht="8" customHeight="1"/>
    <row r="10" ht="18" customHeight="1">
      <c r="A10" s="3" t="inlineStr">
        <is>
          <t>FEE RATES BY CONTRACT TYPE  |  Per FAR 15.404-4 and industry practice</t>
        </is>
      </c>
    </row>
    <row r="11" ht="28" customHeight="1">
      <c r="A11" s="4" t="inlineStr">
        <is>
          <t>Contract Type</t>
        </is>
      </c>
      <c r="B11" s="4" t="inlineStr">
        <is>
          <t>Current Fee</t>
        </is>
      </c>
      <c r="C11" s="4" t="inlineStr">
        <is>
          <t>Low Scenario</t>
        </is>
      </c>
      <c r="D11" s="4" t="inlineStr">
        <is>
          <t>High Scenario</t>
        </is>
      </c>
      <c r="E11" s="4" t="inlineStr">
        <is>
          <t>Regulatory Basis</t>
        </is>
      </c>
      <c r="F11" s="4" t="inlineStr">
        <is>
          <t>Source</t>
        </is>
      </c>
    </row>
    <row r="12" ht="22" customHeight="1">
      <c r="A12" s="24" t="inlineStr">
        <is>
          <t>Cost-Plus-Fixed-Fee (CPFF)</t>
        </is>
      </c>
      <c r="B12" s="25" t="n">
        <v>0.07000000000000001</v>
      </c>
      <c r="C12" s="25" t="n">
        <v>0.06</v>
      </c>
      <c r="D12" s="25" t="n">
        <v>0.08</v>
      </c>
      <c r="E12" s="26" t="inlineStr">
        <is>
          <t>FAR 15.404-4 statutory cap 10%, typical 6-8%</t>
        </is>
      </c>
      <c r="F12" s="27" t="inlineStr">
        <is>
          <t>Federal Acquisition Regulation</t>
        </is>
      </c>
    </row>
    <row r="13" ht="22" customHeight="1">
      <c r="A13" s="28" t="inlineStr">
        <is>
          <t>Time and Materials (T&amp;M)</t>
        </is>
      </c>
      <c r="B13" s="29" t="n">
        <v>0.1</v>
      </c>
      <c r="C13" s="29" t="n">
        <v>0.08</v>
      </c>
      <c r="D13" s="29" t="n">
        <v>0.12</v>
      </c>
      <c r="E13" s="8" t="inlineStr">
        <is>
          <t>No statutory cap; market range 8-12%</t>
        </is>
      </c>
      <c r="F13" s="10" t="inlineStr">
        <is>
          <t>Industry standard GovCon professional services</t>
        </is>
      </c>
    </row>
    <row r="14" ht="22" customHeight="1">
      <c r="A14" s="24" t="inlineStr">
        <is>
          <t>Firm-Fixed-Price (FFP)</t>
        </is>
      </c>
      <c r="B14" s="25" t="n">
        <v>0.12</v>
      </c>
      <c r="C14" s="25" t="n">
        <v>0.1</v>
      </c>
      <c r="D14" s="25" t="n">
        <v>0.15</v>
      </c>
      <c r="E14" s="26" t="inlineStr">
        <is>
          <t>No statutory cap; residual profit 10-15%</t>
        </is>
      </c>
      <c r="F14" s="27" t="inlineStr">
        <is>
          <t>Industry standard GovCon professional services</t>
        </is>
      </c>
    </row>
    <row r="15" ht="8" customHeight="1"/>
    <row r="16" ht="16" customHeight="1">
      <c r="A16" s="30" t="inlineStr">
        <is>
          <t>Note: All blue cells are inputs. Change them here and Cost_Build and Profitability update automatically.</t>
        </is>
      </c>
    </row>
  </sheetData>
  <mergeCells count="5">
    <mergeCell ref="A2:F2"/>
    <mergeCell ref="A16:F16"/>
    <mergeCell ref="A10:F10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30" customHeight="1">
      <c r="A1" s="1" t="inlineStr">
        <is>
          <t>GovCon Proposal Cost Buildup Model</t>
        </is>
      </c>
    </row>
    <row r="2" ht="18" customHeight="1">
      <c r="A2" s="2" t="inlineStr">
        <is>
          <t>Rates pull automatically from Indirect_Rates tab — adjust rates there to update this entire model</t>
        </is>
      </c>
    </row>
    <row r="3" ht="8" customHeight="1"/>
    <row r="4" ht="18" customHeight="1">
      <c r="A4" s="3" t="inlineStr">
        <is>
          <t>SECTION 1 — DIRECT LABOR INPUTS  |  Blue = inputs you can change</t>
        </is>
      </c>
    </row>
    <row r="5" ht="28" customHeight="1">
      <c r="A5" s="4" t="inlineStr">
        <is>
          <t>Labor Category</t>
        </is>
      </c>
      <c r="B5" s="4" t="inlineStr">
        <is>
          <t>Hours</t>
        </is>
      </c>
      <c r="C5" s="4" t="inlineStr">
        <is>
          <t>Bill Rate ($/hr)</t>
        </is>
      </c>
      <c r="D5" s="4" t="inlineStr">
        <is>
          <t>Direct Labor Cost</t>
        </is>
      </c>
      <c r="E5" s="4" t="n"/>
      <c r="F5" s="4" t="n"/>
      <c r="G5" s="4" t="n"/>
      <c r="H5" s="4" t="n"/>
    </row>
    <row r="6" ht="17" customHeight="1">
      <c r="A6" s="19" t="inlineStr">
        <is>
          <t>Program Manager</t>
        </is>
      </c>
      <c r="B6" s="31" t="n">
        <v>480</v>
      </c>
      <c r="C6" s="32" t="n">
        <v>182</v>
      </c>
      <c r="D6" s="33">
        <f>B6*C6</f>
        <v/>
      </c>
      <c r="E6" s="34" t="inlineStr"/>
      <c r="F6" s="34" t="inlineStr"/>
      <c r="G6" s="34" t="inlineStr"/>
      <c r="H6" s="34" t="inlineStr"/>
    </row>
    <row r="7" ht="17" customHeight="1">
      <c r="A7" s="14" t="inlineStr">
        <is>
          <t>Senior Systems Analyst</t>
        </is>
      </c>
      <c r="B7" s="35" t="n">
        <v>960</v>
      </c>
      <c r="C7" s="36" t="n">
        <v>148</v>
      </c>
      <c r="D7" s="37">
        <f>B7*C7</f>
        <v/>
      </c>
      <c r="E7" s="38" t="inlineStr"/>
      <c r="F7" s="38" t="inlineStr"/>
      <c r="G7" s="38" t="inlineStr"/>
      <c r="H7" s="38" t="inlineStr"/>
    </row>
    <row r="8" ht="17" customHeight="1">
      <c r="A8" s="19" t="inlineStr">
        <is>
          <t>Cybersecurity Analyst</t>
        </is>
      </c>
      <c r="B8" s="31" t="n">
        <v>1040</v>
      </c>
      <c r="C8" s="32" t="n">
        <v>138</v>
      </c>
      <c r="D8" s="33">
        <f>B8*C8</f>
        <v/>
      </c>
      <c r="E8" s="34" t="inlineStr"/>
      <c r="F8" s="34" t="inlineStr"/>
      <c r="G8" s="34" t="inlineStr"/>
      <c r="H8" s="34" t="inlineStr"/>
    </row>
    <row r="9" ht="17" customHeight="1">
      <c r="A9" s="14" t="inlineStr">
        <is>
          <t>Management Consultant</t>
        </is>
      </c>
      <c r="B9" s="35" t="n">
        <v>640</v>
      </c>
      <c r="C9" s="36" t="n">
        <v>145</v>
      </c>
      <c r="D9" s="37">
        <f>B9*C9</f>
        <v/>
      </c>
      <c r="E9" s="38" t="inlineStr"/>
      <c r="F9" s="38" t="inlineStr"/>
      <c r="G9" s="38" t="inlineStr"/>
      <c r="H9" s="38" t="inlineStr"/>
    </row>
    <row r="10" ht="17" customHeight="1">
      <c r="A10" s="19" t="inlineStr">
        <is>
          <t>IT Solutions Architect</t>
        </is>
      </c>
      <c r="B10" s="31" t="n">
        <v>520</v>
      </c>
      <c r="C10" s="32" t="n">
        <v>198</v>
      </c>
      <c r="D10" s="33">
        <f>B10*C10</f>
        <v/>
      </c>
      <c r="E10" s="34" t="inlineStr"/>
      <c r="F10" s="34" t="inlineStr"/>
      <c r="G10" s="34" t="inlineStr"/>
      <c r="H10" s="34" t="inlineStr"/>
    </row>
    <row r="11" ht="17" customHeight="1">
      <c r="A11" s="14" t="inlineStr">
        <is>
          <t>Junior Analyst</t>
        </is>
      </c>
      <c r="B11" s="35" t="n">
        <v>800</v>
      </c>
      <c r="C11" s="36" t="n">
        <v>92</v>
      </c>
      <c r="D11" s="37">
        <f>B11*C11</f>
        <v/>
      </c>
      <c r="E11" s="38" t="inlineStr"/>
      <c r="F11" s="38" t="inlineStr"/>
      <c r="G11" s="38" t="inlineStr"/>
      <c r="H11" s="38" t="inlineStr"/>
    </row>
    <row r="12" ht="18" customHeight="1">
      <c r="A12" s="39" t="inlineStr">
        <is>
          <t>TOTAL DIRECT LABOR</t>
        </is>
      </c>
      <c r="B12" s="40" t="inlineStr"/>
      <c r="C12" s="40" t="inlineStr"/>
      <c r="D12" s="41">
        <f>SUM(D6:D11)</f>
        <v/>
      </c>
      <c r="E12" s="40" t="inlineStr"/>
      <c r="F12" s="40" t="inlineStr"/>
      <c r="G12" s="40" t="inlineStr"/>
      <c r="H12" s="40" t="inlineStr"/>
    </row>
    <row r="13" ht="8" customHeight="1"/>
    <row r="14" ht="18" customHeight="1">
      <c r="A14" s="3" t="inlineStr">
        <is>
          <t>SECTION 2 — INDIRECT COST STACK  |  Rates link from Indirect_Rates tab</t>
        </is>
      </c>
    </row>
    <row r="15" ht="28" customHeight="1">
      <c r="A15" s="4" t="inlineStr">
        <is>
          <t>Cost Element</t>
        </is>
      </c>
      <c r="B15" s="4" t="inlineStr">
        <is>
          <t>Rate</t>
        </is>
      </c>
      <c r="C15" s="4" t="inlineStr">
        <is>
          <t>Base Amount</t>
        </is>
      </c>
      <c r="D15" s="4" t="inlineStr">
        <is>
          <t>Cost Amount</t>
        </is>
      </c>
      <c r="E15" s="4" t="n"/>
      <c r="F15" s="4" t="n"/>
      <c r="G15" s="4" t="n"/>
      <c r="H15" s="4" t="n"/>
    </row>
    <row r="16" ht="17" customHeight="1">
      <c r="A16" s="19" t="inlineStr">
        <is>
          <t>Direct Labor</t>
        </is>
      </c>
      <c r="B16" s="34" t="inlineStr"/>
      <c r="C16" s="34" t="inlineStr"/>
      <c r="D16" s="33">
        <f>D12</f>
        <v/>
      </c>
      <c r="E16" s="34" t="inlineStr"/>
      <c r="F16" s="34" t="inlineStr"/>
      <c r="G16" s="34" t="inlineStr"/>
      <c r="H16" s="34" t="inlineStr"/>
    </row>
    <row r="17" ht="17" customHeight="1">
      <c r="A17" s="14" t="inlineStr">
        <is>
          <t>Fringe</t>
        </is>
      </c>
      <c r="B17" s="42">
        <f>Indirect_Rates!B6</f>
        <v/>
      </c>
      <c r="C17" s="37">
        <f>D16</f>
        <v/>
      </c>
      <c r="D17" s="37">
        <f>B17*C17</f>
        <v/>
      </c>
      <c r="E17" s="38" t="inlineStr"/>
      <c r="F17" s="38" t="inlineStr"/>
      <c r="G17" s="38" t="inlineStr"/>
      <c r="H17" s="38" t="inlineStr"/>
    </row>
    <row r="18" ht="17" customHeight="1">
      <c r="A18" s="19" t="inlineStr">
        <is>
          <t>Overhead</t>
        </is>
      </c>
      <c r="B18" s="43">
        <f>Indirect_Rates!B7</f>
        <v/>
      </c>
      <c r="C18" s="33">
        <f>D16</f>
        <v/>
      </c>
      <c r="D18" s="33">
        <f>B18*C18</f>
        <v/>
      </c>
      <c r="E18" s="34" t="inlineStr"/>
      <c r="F18" s="34" t="inlineStr"/>
      <c r="G18" s="34" t="inlineStr"/>
      <c r="H18" s="34" t="inlineStr"/>
    </row>
    <row r="19" ht="18" customHeight="1">
      <c r="A19" s="39" t="inlineStr">
        <is>
          <t>Subtotal (DL + Fringe + OH)</t>
        </is>
      </c>
      <c r="B19" s="40" t="inlineStr"/>
      <c r="C19" s="40" t="inlineStr"/>
      <c r="D19" s="41">
        <f>D16+D17+D18</f>
        <v/>
      </c>
      <c r="E19" s="40" t="inlineStr"/>
      <c r="F19" s="40" t="inlineStr"/>
      <c r="G19" s="40" t="inlineStr"/>
      <c r="H19" s="40" t="inlineStr"/>
    </row>
    <row r="20" ht="17" customHeight="1">
      <c r="A20" s="19" t="inlineStr">
        <is>
          <t>G&amp;A</t>
        </is>
      </c>
      <c r="B20" s="43">
        <f>Indirect_Rates!B8</f>
        <v/>
      </c>
      <c r="C20" s="33">
        <f>D19</f>
        <v/>
      </c>
      <c r="D20" s="33">
        <f>B20*C20</f>
        <v/>
      </c>
      <c r="E20" s="34" t="inlineStr"/>
      <c r="F20" s="34" t="inlineStr"/>
      <c r="G20" s="34" t="inlineStr"/>
      <c r="H20" s="34" t="inlineStr"/>
    </row>
    <row r="21" ht="18" customHeight="1">
      <c r="A21" s="39" t="inlineStr">
        <is>
          <t>TOTAL COST INPUT (TCI)</t>
        </is>
      </c>
      <c r="B21" s="40" t="inlineStr"/>
      <c r="C21" s="40" t="inlineStr"/>
      <c r="D21" s="41">
        <f>D19+D20</f>
        <v/>
      </c>
      <c r="E21" s="40" t="inlineStr"/>
      <c r="F21" s="40" t="inlineStr"/>
      <c r="G21" s="40" t="inlineStr"/>
      <c r="H21" s="40" t="inlineStr"/>
    </row>
    <row r="22" ht="8" customHeight="1"/>
    <row r="23" ht="18" customHeight="1">
      <c r="A23" s="3" t="inlineStr">
        <is>
          <t>SECTION 3 — FEE AND TOTAL PRICE BY CONTRACT TYPE</t>
        </is>
      </c>
    </row>
    <row r="24" ht="28" customHeight="1">
      <c r="A24" s="4" t="inlineStr">
        <is>
          <t>Contract Type</t>
        </is>
      </c>
      <c r="B24" s="4" t="inlineStr">
        <is>
          <t>Fee Rate</t>
        </is>
      </c>
      <c r="C24" s="4" t="inlineStr">
        <is>
          <t>Fee Amount</t>
        </is>
      </c>
      <c r="D24" s="4" t="inlineStr">
        <is>
          <t>Total Contract Price</t>
        </is>
      </c>
      <c r="E24" s="4" t="inlineStr">
        <is>
          <t>Gross Margin %</t>
        </is>
      </c>
      <c r="F24" s="4" t="n"/>
      <c r="G24" s="4" t="n"/>
      <c r="H24" s="4" t="n"/>
    </row>
    <row r="25" ht="17" customHeight="1">
      <c r="A25" s="44" t="inlineStr">
        <is>
          <t>Cost-Plus-Fixed-Fee (CPFF)</t>
        </is>
      </c>
      <c r="B25" s="45">
        <f>Indirect_Rates!B12</f>
        <v/>
      </c>
      <c r="C25" s="46">
        <f>B25*D21</f>
        <v/>
      </c>
      <c r="D25" s="46">
        <f>D21+C25</f>
        <v/>
      </c>
      <c r="E25" s="47">
        <f>C25/D25</f>
        <v/>
      </c>
      <c r="F25" s="48" t="inlineStr"/>
      <c r="G25" s="48" t="inlineStr"/>
      <c r="H25" s="48" t="inlineStr"/>
    </row>
    <row r="26" ht="17" customHeight="1">
      <c r="A26" s="14" t="inlineStr">
        <is>
          <t>Time and Materials (T&amp;M)</t>
        </is>
      </c>
      <c r="B26" s="42">
        <f>Indirect_Rates!B13</f>
        <v/>
      </c>
      <c r="C26" s="37">
        <f>B26*D21</f>
        <v/>
      </c>
      <c r="D26" s="37">
        <f>D21+C26</f>
        <v/>
      </c>
      <c r="E26" s="49">
        <f>C26/D26</f>
        <v/>
      </c>
      <c r="F26" s="38" t="inlineStr"/>
      <c r="G26" s="38" t="inlineStr"/>
      <c r="H26" s="38" t="inlineStr"/>
    </row>
    <row r="27" ht="17" customHeight="1">
      <c r="A27" s="44" t="inlineStr">
        <is>
          <t>Firm-Fixed-Price (FFP)</t>
        </is>
      </c>
      <c r="B27" s="45">
        <f>Indirect_Rates!B14</f>
        <v/>
      </c>
      <c r="C27" s="46">
        <f>B27*D21</f>
        <v/>
      </c>
      <c r="D27" s="46">
        <f>D21+C27</f>
        <v/>
      </c>
      <c r="E27" s="47">
        <f>C27/D27</f>
        <v/>
      </c>
      <c r="F27" s="48" t="inlineStr"/>
      <c r="G27" s="48" t="inlineStr"/>
      <c r="H27" s="48" t="inlineStr"/>
    </row>
    <row r="28" ht="8" customHeight="1"/>
    <row r="29" ht="18" customHeight="1">
      <c r="A29" s="3" t="inlineStr">
        <is>
          <t>SECTION 4 — INDIRECT RATE SCENARIO ANALYSIS  |  Impact on total FFP contract price</t>
        </is>
      </c>
    </row>
    <row r="30" ht="28" customHeight="1">
      <c r="A30" s="4" t="inlineStr">
        <is>
          <t>Scenario</t>
        </is>
      </c>
      <c r="B30" s="4" t="inlineStr">
        <is>
          <t>Fringe</t>
        </is>
      </c>
      <c r="C30" s="4" t="inlineStr">
        <is>
          <t>Overhead</t>
        </is>
      </c>
      <c r="D30" s="4" t="inlineStr">
        <is>
          <t>G&amp;A</t>
        </is>
      </c>
      <c r="E30" s="4" t="inlineStr">
        <is>
          <t>Total Cost Input</t>
        </is>
      </c>
      <c r="F30" s="4" t="inlineStr">
        <is>
          <t>FFP Total Price</t>
        </is>
      </c>
      <c r="G30" s="4" t="inlineStr">
        <is>
          <t>vs. Base Case</t>
        </is>
      </c>
      <c r="H30" s="4" t="n"/>
    </row>
    <row r="31" ht="17" customHeight="1">
      <c r="A31" s="19" t="inlineStr">
        <is>
          <t>Base Case</t>
        </is>
      </c>
      <c r="B31" s="43">
        <f>Indirect_Rates!B6</f>
        <v/>
      </c>
      <c r="C31" s="43">
        <f>Indirect_Rates!B7</f>
        <v/>
      </c>
      <c r="D31" s="43">
        <f>Indirect_Rates!B8</f>
        <v/>
      </c>
      <c r="E31" s="33">
        <f>D12*(1+B31+C31)*(1+D31)</f>
        <v/>
      </c>
      <c r="F31" s="33">
        <f>E31*(1+Indirect_Rates!B14)</f>
        <v/>
      </c>
      <c r="G31" s="50">
        <f>"-"</f>
        <v/>
      </c>
      <c r="H31" s="34" t="inlineStr"/>
    </row>
    <row r="32" ht="17" customHeight="1">
      <c r="A32" s="44" t="inlineStr">
        <is>
          <t>Low Rates</t>
        </is>
      </c>
      <c r="B32" s="45">
        <f>Indirect_Rates!C6</f>
        <v/>
      </c>
      <c r="C32" s="45">
        <f>Indirect_Rates!C7</f>
        <v/>
      </c>
      <c r="D32" s="45">
        <f>Indirect_Rates!C8</f>
        <v/>
      </c>
      <c r="E32" s="46">
        <f>D12*(1+B32+C32)*(1+D32)</f>
        <v/>
      </c>
      <c r="F32" s="46">
        <f>E32*(1+Indirect_Rates!C14)</f>
        <v/>
      </c>
      <c r="G32" s="47">
        <f>(F32-F31)/F31</f>
        <v/>
      </c>
      <c r="H32" s="48" t="inlineStr"/>
    </row>
    <row r="33" ht="17" customHeight="1">
      <c r="A33" s="51" t="inlineStr">
        <is>
          <t>High Rates</t>
        </is>
      </c>
      <c r="B33" s="52">
        <f>Indirect_Rates!D6</f>
        <v/>
      </c>
      <c r="C33" s="52">
        <f>Indirect_Rates!D7</f>
        <v/>
      </c>
      <c r="D33" s="52">
        <f>Indirect_Rates!D8</f>
        <v/>
      </c>
      <c r="E33" s="53">
        <f>D12*(1+B33+C33)*(1+D33)</f>
        <v/>
      </c>
      <c r="F33" s="53">
        <f>E33*(1+Indirect_Rates!D14)</f>
        <v/>
      </c>
      <c r="G33" s="54">
        <f>(F33-F31)/F31</f>
        <v/>
      </c>
      <c r="H33" s="55" t="inlineStr"/>
    </row>
    <row r="34" ht="8" customHeight="1"/>
    <row r="35" ht="28" customHeight="1">
      <c r="A35" s="56" t="inlineStr">
        <is>
          <t>Analyst Note: The swing between Low and High rate scenarios represents the financial risk a program manager must account for when DCAA adjusts provisional rates mid-contract.</t>
        </is>
      </c>
    </row>
  </sheetData>
  <mergeCells count="7">
    <mergeCell ref="A4:H4"/>
    <mergeCell ref="A29:H29"/>
    <mergeCell ref="A35:H35"/>
    <mergeCell ref="A2:H2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0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Program Profitability Tracker</t>
        </is>
      </c>
    </row>
    <row r="2" ht="18" customHeight="1">
      <c r="A2" s="2" t="inlineStr">
        <is>
          <t>Contract ceiling and award data: USASpending.gov  |  Monthly actuals: Modeled synthetic projections</t>
        </is>
      </c>
    </row>
    <row r="3" ht="8" customHeight="1"/>
    <row r="4" ht="18" customHeight="1">
      <c r="A4" s="3" t="inlineStr">
        <is>
          <t>CONTRACT PROFITABILITY SUMMARY  |  Based on YTD actuals</t>
        </is>
      </c>
    </row>
    <row r="5" ht="28" customHeight="1">
      <c r="A5" s="4" t="inlineStr">
        <is>
          <t>Contract</t>
        </is>
      </c>
      <c r="B5" s="4" t="inlineStr">
        <is>
          <t>Award ID (USASpending)</t>
        </is>
      </c>
      <c r="C5" s="4" t="inlineStr">
        <is>
          <t>Type</t>
        </is>
      </c>
      <c r="D5" s="4" t="inlineStr">
        <is>
          <t>Ceiling</t>
        </is>
      </c>
      <c r="E5" s="4" t="inlineStr">
        <is>
          <t>Costs Incurred</t>
        </is>
      </c>
      <c r="F5" s="4" t="inlineStr">
        <is>
          <t>Revenue Recognized</t>
        </is>
      </c>
      <c r="G5" s="4" t="inlineStr">
        <is>
          <t>Gross Margin $</t>
        </is>
      </c>
      <c r="H5" s="4" t="inlineStr">
        <is>
          <t>Margin %</t>
        </is>
      </c>
      <c r="I5" s="4" t="inlineStr">
        <is>
          <t>Fee at Risk</t>
        </is>
      </c>
    </row>
    <row r="6" ht="17" customHeight="1">
      <c r="A6" s="19" t="inlineStr">
        <is>
          <t>CMS Marketplace State Security &amp; Privacy Support</t>
        </is>
      </c>
      <c r="B6" s="57" t="inlineStr">
        <is>
          <t>75FCMC22F0046</t>
        </is>
      </c>
      <c r="C6" s="34" t="inlineStr">
        <is>
          <t>CPFF</t>
        </is>
      </c>
      <c r="D6" s="32" t="n">
        <v>8070000</v>
      </c>
      <c r="E6" s="32" t="n">
        <v>4938996</v>
      </c>
      <c r="F6" s="33">
        <f>E6*(1+Indirect_Rates!B12)</f>
        <v/>
      </c>
      <c r="G6" s="33">
        <f>F6-E6</f>
        <v/>
      </c>
      <c r="H6" s="50">
        <f>G6/F6</f>
        <v/>
      </c>
      <c r="I6" s="33">
        <f>MAX(0,(E6/D6-0.9)*D6*Indirect_Rates!B12)</f>
        <v/>
      </c>
    </row>
    <row r="7" ht="17" customHeight="1">
      <c r="A7" s="14" t="inlineStr">
        <is>
          <t>DHS Program Management &amp; Consulting Support</t>
        </is>
      </c>
      <c r="B7" s="58" t="inlineStr">
        <is>
          <t>70T02021F7560N005</t>
        </is>
      </c>
      <c r="C7" s="38" t="inlineStr">
        <is>
          <t>T&amp;M</t>
        </is>
      </c>
      <c r="D7" s="36" t="n">
        <v>1010000</v>
      </c>
      <c r="E7" s="36" t="n">
        <v>874650</v>
      </c>
      <c r="F7" s="37">
        <f>E7*(1+Indirect_Rates!B13)</f>
        <v/>
      </c>
      <c r="G7" s="37">
        <f>F7-E7</f>
        <v/>
      </c>
      <c r="H7" s="49">
        <f>G7/F7</f>
        <v/>
      </c>
      <c r="I7" s="37">
        <f>MAX(0,(E7/D7-0.9)*D7*Indirect_Rates!B13)</f>
        <v/>
      </c>
    </row>
    <row r="8" ht="17" customHeight="1">
      <c r="A8" s="19" t="inlineStr">
        <is>
          <t>NIH Hosting &amp; Storage IT Support Services</t>
        </is>
      </c>
      <c r="B8" s="57" t="inlineStr">
        <is>
          <t>75N97023F00001</t>
        </is>
      </c>
      <c r="C8" s="34" t="inlineStr">
        <is>
          <t>FFP</t>
        </is>
      </c>
      <c r="D8" s="32" t="n">
        <v>7340000</v>
      </c>
      <c r="E8" s="32" t="n">
        <v>5793540</v>
      </c>
      <c r="F8" s="33">
        <f>E8*(1+Indirect_Rates!B14)</f>
        <v/>
      </c>
      <c r="G8" s="33">
        <f>F8-E8</f>
        <v/>
      </c>
      <c r="H8" s="50">
        <f>G8/F8</f>
        <v/>
      </c>
      <c r="I8" s="33">
        <f>MAX(0,(E8/D8-0.9)*D8*Indirect_Rates!B14)</f>
        <v/>
      </c>
    </row>
    <row r="9" ht="18" customHeight="1">
      <c r="A9" s="39" t="inlineStr">
        <is>
          <t>PORTFOLIO TOTAL</t>
        </is>
      </c>
      <c r="B9" s="40" t="inlineStr"/>
      <c r="C9" s="40" t="inlineStr"/>
      <c r="D9" s="41">
        <f>SUM(D6:D8)</f>
        <v/>
      </c>
      <c r="E9" s="41">
        <f>SUM(E6:E8)</f>
        <v/>
      </c>
      <c r="F9" s="41">
        <f>SUM(F6:F8)</f>
        <v/>
      </c>
      <c r="G9" s="41">
        <f>SUM(G6:G8)</f>
        <v/>
      </c>
      <c r="H9" s="59">
        <f>G9/F9</f>
        <v/>
      </c>
      <c r="I9" s="41">
        <f>SUM(I6:I8)</f>
        <v/>
      </c>
    </row>
    <row r="10" ht="8" customHeight="1"/>
    <row r="11" ht="18" customHeight="1">
      <c r="A11" s="3" t="inlineStr">
        <is>
          <t>MONTHLY PROFITABILITY TREND  |  Synthetic actuals calibrated to real USASpending.gov award values</t>
        </is>
      </c>
    </row>
    <row r="12" ht="28" customHeight="1">
      <c r="A12" s="4" t="inlineStr">
        <is>
          <t>Month</t>
        </is>
      </c>
      <c r="B12" s="4" t="inlineStr">
        <is>
          <t>Contract</t>
        </is>
      </c>
      <c r="C12" s="4" t="inlineStr">
        <is>
          <t>Type</t>
        </is>
      </c>
      <c r="D12" s="4" t="inlineStr">
        <is>
          <t>Cost Incurred</t>
        </is>
      </c>
      <c r="E12" s="4" t="inlineStr">
        <is>
          <t>Revenue</t>
        </is>
      </c>
      <c r="F12" s="4" t="inlineStr">
        <is>
          <t>Gross Margin</t>
        </is>
      </c>
      <c r="G12" s="4" t="inlineStr">
        <is>
          <t>Margin %</t>
        </is>
      </c>
      <c r="H12" s="4" t="n"/>
      <c r="I12" s="4" t="n"/>
    </row>
    <row r="13" ht="15" customHeight="1">
      <c r="A13" s="19" t="inlineStr">
        <is>
          <t>2024-01</t>
        </is>
      </c>
      <c r="B13" s="34" t="inlineStr">
        <is>
          <t>CMS Marketplace</t>
        </is>
      </c>
      <c r="C13" s="34" t="inlineStr">
        <is>
          <t>CPFF</t>
        </is>
      </c>
      <c r="D13" s="32" t="n">
        <v>250831.7</v>
      </c>
      <c r="E13" s="33" t="n">
        <v>268389.92</v>
      </c>
      <c r="F13" s="33">
        <f>F13-E13</f>
        <v/>
      </c>
      <c r="G13" s="50">
        <f>G13/F13</f>
        <v/>
      </c>
      <c r="H13" s="34" t="inlineStr"/>
      <c r="I13" s="34" t="inlineStr"/>
    </row>
    <row r="14" ht="15" customHeight="1">
      <c r="A14" s="14" t="inlineStr">
        <is>
          <t>2024-02</t>
        </is>
      </c>
      <c r="B14" s="38" t="inlineStr">
        <is>
          <t>CMS Marketplace</t>
        </is>
      </c>
      <c r="C14" s="38" t="inlineStr">
        <is>
          <t>CPFF</t>
        </is>
      </c>
      <c r="D14" s="36" t="n">
        <v>304484.49</v>
      </c>
      <c r="E14" s="37" t="n">
        <v>325798.4</v>
      </c>
      <c r="F14" s="37">
        <f>F14-E14</f>
        <v/>
      </c>
      <c r="G14" s="49">
        <f>G14/F14</f>
        <v/>
      </c>
      <c r="H14" s="38" t="inlineStr"/>
      <c r="I14" s="38" t="inlineStr"/>
    </row>
    <row r="15" ht="15" customHeight="1">
      <c r="A15" s="19" t="inlineStr">
        <is>
          <t>2024-03</t>
        </is>
      </c>
      <c r="B15" s="34" t="inlineStr">
        <is>
          <t>CMS Marketplace</t>
        </is>
      </c>
      <c r="C15" s="34" t="inlineStr">
        <is>
          <t>CPFF</t>
        </is>
      </c>
      <c r="D15" s="32" t="n">
        <v>342842.38</v>
      </c>
      <c r="E15" s="33" t="n">
        <v>366841.35</v>
      </c>
      <c r="F15" s="33">
        <f>F15-E15</f>
        <v/>
      </c>
      <c r="G15" s="50">
        <f>G15/F15</f>
        <v/>
      </c>
      <c r="H15" s="34" t="inlineStr"/>
      <c r="I15" s="34" t="inlineStr"/>
    </row>
    <row r="16" ht="15" customHeight="1">
      <c r="A16" s="14" t="inlineStr">
        <is>
          <t>2024-04</t>
        </is>
      </c>
      <c r="B16" s="38" t="inlineStr">
        <is>
          <t>CMS Marketplace</t>
        </is>
      </c>
      <c r="C16" s="38" t="inlineStr">
        <is>
          <t>CPFF</t>
        </is>
      </c>
      <c r="D16" s="36" t="n">
        <v>382172.65</v>
      </c>
      <c r="E16" s="37" t="n">
        <v>408924.74</v>
      </c>
      <c r="F16" s="37">
        <f>F16-E16</f>
        <v/>
      </c>
      <c r="G16" s="49">
        <f>G16/F16</f>
        <v/>
      </c>
      <c r="H16" s="38" t="inlineStr"/>
      <c r="I16" s="38" t="inlineStr"/>
    </row>
    <row r="17" ht="15" customHeight="1">
      <c r="A17" s="19" t="inlineStr">
        <is>
          <t>2024-05</t>
        </is>
      </c>
      <c r="B17" s="34" t="inlineStr">
        <is>
          <t>CMS Marketplace</t>
        </is>
      </c>
      <c r="C17" s="34" t="inlineStr">
        <is>
          <t>CPFF</t>
        </is>
      </c>
      <c r="D17" s="32" t="n">
        <v>370470.43</v>
      </c>
      <c r="E17" s="33" t="n">
        <v>396403.36</v>
      </c>
      <c r="F17" s="33">
        <f>F17-E17</f>
        <v/>
      </c>
      <c r="G17" s="50">
        <f>G17/F17</f>
        <v/>
      </c>
      <c r="H17" s="34" t="inlineStr"/>
      <c r="I17" s="34" t="inlineStr"/>
    </row>
    <row r="18" ht="15" customHeight="1">
      <c r="A18" s="14" t="inlineStr">
        <is>
          <t>2024-06</t>
        </is>
      </c>
      <c r="B18" s="38" t="inlineStr">
        <is>
          <t>CMS Marketplace</t>
        </is>
      </c>
      <c r="C18" s="38" t="inlineStr">
        <is>
          <t>CPFF</t>
        </is>
      </c>
      <c r="D18" s="36" t="n">
        <v>411633.11</v>
      </c>
      <c r="E18" s="37" t="n">
        <v>440447.43</v>
      </c>
      <c r="F18" s="37">
        <f>F18-E18</f>
        <v/>
      </c>
      <c r="G18" s="49">
        <f>G18/F18</f>
        <v/>
      </c>
      <c r="H18" s="38" t="inlineStr"/>
      <c r="I18" s="38" t="inlineStr"/>
    </row>
    <row r="19" ht="15" customHeight="1">
      <c r="A19" s="19" t="inlineStr">
        <is>
          <t>2024-07</t>
        </is>
      </c>
      <c r="B19" s="34" t="inlineStr">
        <is>
          <t>CMS Marketplace</t>
        </is>
      </c>
      <c r="C19" s="34" t="inlineStr">
        <is>
          <t>CPFF</t>
        </is>
      </c>
      <c r="D19" s="32" t="n">
        <v>408756.99</v>
      </c>
      <c r="E19" s="33" t="n">
        <v>437369.98</v>
      </c>
      <c r="F19" s="33">
        <f>F19-E19</f>
        <v/>
      </c>
      <c r="G19" s="50">
        <f>G19/F19</f>
        <v/>
      </c>
      <c r="H19" s="34" t="inlineStr"/>
      <c r="I19" s="34" t="inlineStr"/>
    </row>
    <row r="20" ht="15" customHeight="1">
      <c r="A20" s="14" t="inlineStr">
        <is>
          <t>2024-08</t>
        </is>
      </c>
      <c r="B20" s="38" t="inlineStr">
        <is>
          <t>CMS Marketplace</t>
        </is>
      </c>
      <c r="C20" s="38" t="inlineStr">
        <is>
          <t>CPFF</t>
        </is>
      </c>
      <c r="D20" s="36" t="n">
        <v>475744.01</v>
      </c>
      <c r="E20" s="37" t="n">
        <v>509046.09</v>
      </c>
      <c r="F20" s="37">
        <f>F20-E20</f>
        <v/>
      </c>
      <c r="G20" s="49">
        <f>G20/F20</f>
        <v/>
      </c>
      <c r="H20" s="38" t="inlineStr"/>
      <c r="I20" s="38" t="inlineStr"/>
    </row>
    <row r="21" ht="15" customHeight="1">
      <c r="A21" s="19" t="inlineStr">
        <is>
          <t>2024-09</t>
        </is>
      </c>
      <c r="B21" s="34" t="inlineStr">
        <is>
          <t>CMS Marketplace</t>
        </is>
      </c>
      <c r="C21" s="34" t="inlineStr">
        <is>
          <t>CPFF</t>
        </is>
      </c>
      <c r="D21" s="32" t="n">
        <v>424708.43</v>
      </c>
      <c r="E21" s="33" t="n">
        <v>454438.02</v>
      </c>
      <c r="F21" s="33">
        <f>F21-E21</f>
        <v/>
      </c>
      <c r="G21" s="50">
        <f>G21/F21</f>
        <v/>
      </c>
      <c r="H21" s="34" t="inlineStr"/>
      <c r="I21" s="34" t="inlineStr"/>
    </row>
    <row r="22" ht="15" customHeight="1">
      <c r="A22" s="14" t="inlineStr">
        <is>
          <t>2024-10</t>
        </is>
      </c>
      <c r="B22" s="38" t="inlineStr">
        <is>
          <t>CMS Marketplace</t>
        </is>
      </c>
      <c r="C22" s="38" t="inlineStr">
        <is>
          <t>CPFF</t>
        </is>
      </c>
      <c r="D22" s="36" t="n">
        <v>385065.26</v>
      </c>
      <c r="E22" s="37" t="n">
        <v>412019.83</v>
      </c>
      <c r="F22" s="37">
        <f>F22-E22</f>
        <v/>
      </c>
      <c r="G22" s="49">
        <f>G22/F22</f>
        <v/>
      </c>
      <c r="H22" s="38" t="inlineStr"/>
      <c r="I22" s="38" t="inlineStr"/>
    </row>
    <row r="23" ht="15" customHeight="1">
      <c r="A23" s="19" t="inlineStr">
        <is>
          <t>2024-11</t>
        </is>
      </c>
      <c r="B23" s="34" t="inlineStr">
        <is>
          <t>CMS Marketplace</t>
        </is>
      </c>
      <c r="C23" s="34" t="inlineStr">
        <is>
          <t>CPFF</t>
        </is>
      </c>
      <c r="D23" s="32" t="n">
        <v>244593.28</v>
      </c>
      <c r="E23" s="33" t="n">
        <v>261714.81</v>
      </c>
      <c r="F23" s="33">
        <f>F23-E23</f>
        <v/>
      </c>
      <c r="G23" s="50">
        <f>G23/F23</f>
        <v/>
      </c>
      <c r="H23" s="34" t="inlineStr"/>
      <c r="I23" s="34" t="inlineStr"/>
    </row>
    <row r="24" ht="15" customHeight="1">
      <c r="A24" s="14" t="inlineStr">
        <is>
          <t>2024-12</t>
        </is>
      </c>
      <c r="B24" s="38" t="inlineStr">
        <is>
          <t>CMS Marketplace</t>
        </is>
      </c>
      <c r="C24" s="38" t="inlineStr">
        <is>
          <t>CPFF</t>
        </is>
      </c>
      <c r="D24" s="36" t="n">
        <v>217770.85</v>
      </c>
      <c r="E24" s="37" t="n">
        <v>233014.81</v>
      </c>
      <c r="F24" s="37">
        <f>F24-E24</f>
        <v/>
      </c>
      <c r="G24" s="49">
        <f>G24/F24</f>
        <v/>
      </c>
      <c r="H24" s="38" t="inlineStr"/>
      <c r="I24" s="38" t="inlineStr"/>
    </row>
    <row r="25" ht="15" customHeight="1">
      <c r="A25" s="19" t="inlineStr">
        <is>
          <t>2024-01</t>
        </is>
      </c>
      <c r="B25" s="34" t="inlineStr">
        <is>
          <t>DHS PM Support</t>
        </is>
      </c>
      <c r="C25" s="34" t="inlineStr">
        <is>
          <t>T&amp;M</t>
        </is>
      </c>
      <c r="D25" s="32" t="n">
        <v>69063.82000000001</v>
      </c>
      <c r="E25" s="33" t="n">
        <v>75970.2</v>
      </c>
      <c r="F25" s="33">
        <f>F25-E25</f>
        <v/>
      </c>
      <c r="G25" s="50">
        <f>G25/F25</f>
        <v/>
      </c>
      <c r="H25" s="34" t="inlineStr"/>
      <c r="I25" s="34" t="inlineStr"/>
    </row>
    <row r="26" ht="15" customHeight="1">
      <c r="A26" s="14" t="inlineStr">
        <is>
          <t>2024-02</t>
        </is>
      </c>
      <c r="B26" s="38" t="inlineStr">
        <is>
          <t>DHS PM Support</t>
        </is>
      </c>
      <c r="C26" s="38" t="inlineStr">
        <is>
          <t>T&amp;M</t>
        </is>
      </c>
      <c r="D26" s="36" t="n">
        <v>75598.14</v>
      </c>
      <c r="E26" s="37" t="n">
        <v>83157.95</v>
      </c>
      <c r="F26" s="37">
        <f>F26-E26</f>
        <v/>
      </c>
      <c r="G26" s="49">
        <f>G26/F26</f>
        <v/>
      </c>
      <c r="H26" s="38" t="inlineStr"/>
      <c r="I26" s="38" t="inlineStr"/>
    </row>
    <row r="27" ht="15" customHeight="1">
      <c r="A27" s="19" t="inlineStr">
        <is>
          <t>2024-03</t>
        </is>
      </c>
      <c r="B27" s="34" t="inlineStr">
        <is>
          <t>DHS PM Support</t>
        </is>
      </c>
      <c r="C27" s="34" t="inlineStr">
        <is>
          <t>T&amp;M</t>
        </is>
      </c>
      <c r="D27" s="32" t="n">
        <v>84863.45</v>
      </c>
      <c r="E27" s="33" t="n">
        <v>93349.78999999999</v>
      </c>
      <c r="F27" s="33">
        <f>F27-E27</f>
        <v/>
      </c>
      <c r="G27" s="50">
        <f>G27/F27</f>
        <v/>
      </c>
      <c r="H27" s="34" t="inlineStr"/>
      <c r="I27" s="34" t="inlineStr"/>
    </row>
    <row r="28" ht="15" customHeight="1">
      <c r="A28" s="14" t="inlineStr">
        <is>
          <t>2024-04</t>
        </is>
      </c>
      <c r="B28" s="38" t="inlineStr">
        <is>
          <t>DHS PM Support</t>
        </is>
      </c>
      <c r="C28" s="38" t="inlineStr">
        <is>
          <t>T&amp;M</t>
        </is>
      </c>
      <c r="D28" s="36" t="n">
        <v>84873</v>
      </c>
      <c r="E28" s="37" t="n">
        <v>93360.3</v>
      </c>
      <c r="F28" s="37">
        <f>F28-E28</f>
        <v/>
      </c>
      <c r="G28" s="49">
        <f>G28/F28</f>
        <v/>
      </c>
      <c r="H28" s="38" t="inlineStr"/>
      <c r="I28" s="38" t="inlineStr"/>
    </row>
    <row r="29" ht="15" customHeight="1">
      <c r="A29" s="19" t="inlineStr">
        <is>
          <t>2024-05</t>
        </is>
      </c>
      <c r="B29" s="34" t="inlineStr">
        <is>
          <t>DHS PM Support</t>
        </is>
      </c>
      <c r="C29" s="34" t="inlineStr">
        <is>
          <t>T&amp;M</t>
        </is>
      </c>
      <c r="D29" s="32" t="n">
        <v>95114.94</v>
      </c>
      <c r="E29" s="33" t="n">
        <v>104626.43</v>
      </c>
      <c r="F29" s="33">
        <f>F29-E29</f>
        <v/>
      </c>
      <c r="G29" s="50">
        <f>G29/F29</f>
        <v/>
      </c>
      <c r="H29" s="34" t="inlineStr"/>
      <c r="I29" s="34" t="inlineStr"/>
    </row>
    <row r="30" ht="15" customHeight="1">
      <c r="A30" s="14" t="inlineStr">
        <is>
          <t>2024-06</t>
        </is>
      </c>
      <c r="B30" s="38" t="inlineStr">
        <is>
          <t>DHS PM Support</t>
        </is>
      </c>
      <c r="C30" s="38" t="inlineStr">
        <is>
          <t>T&amp;M</t>
        </is>
      </c>
      <c r="D30" s="36" t="n">
        <v>96596.03</v>
      </c>
      <c r="E30" s="37" t="n">
        <v>106255.63</v>
      </c>
      <c r="F30" s="37">
        <f>F30-E30</f>
        <v/>
      </c>
      <c r="G30" s="49">
        <f>G30/F30</f>
        <v/>
      </c>
      <c r="H30" s="38" t="inlineStr"/>
      <c r="I30" s="38" t="inlineStr"/>
    </row>
    <row r="31" ht="15" customHeight="1">
      <c r="A31" s="19" t="inlineStr">
        <is>
          <t>2024-07</t>
        </is>
      </c>
      <c r="B31" s="34" t="inlineStr">
        <is>
          <t>DHS PM Support</t>
        </is>
      </c>
      <c r="C31" s="34" t="inlineStr">
        <is>
          <t>T&amp;M</t>
        </is>
      </c>
      <c r="D31" s="32" t="n">
        <v>105569.92</v>
      </c>
      <c r="E31" s="33" t="n">
        <v>116126.91</v>
      </c>
      <c r="F31" s="33">
        <f>F31-E31</f>
        <v/>
      </c>
      <c r="G31" s="50">
        <f>G31/F31</f>
        <v/>
      </c>
      <c r="H31" s="34" t="inlineStr"/>
      <c r="I31" s="34" t="inlineStr"/>
    </row>
    <row r="32" ht="15" customHeight="1">
      <c r="A32" s="14" t="inlineStr">
        <is>
          <t>2024-08</t>
        </is>
      </c>
      <c r="B32" s="38" t="inlineStr">
        <is>
          <t>DHS PM Support</t>
        </is>
      </c>
      <c r="C32" s="38" t="inlineStr">
        <is>
          <t>T&amp;M</t>
        </is>
      </c>
      <c r="D32" s="36" t="n">
        <v>104530.29</v>
      </c>
      <c r="E32" s="37" t="n">
        <v>114983.32</v>
      </c>
      <c r="F32" s="37">
        <f>F32-E32</f>
        <v/>
      </c>
      <c r="G32" s="49">
        <f>G32/F32</f>
        <v/>
      </c>
      <c r="H32" s="38" t="inlineStr"/>
      <c r="I32" s="38" t="inlineStr"/>
    </row>
    <row r="33" ht="15" customHeight="1">
      <c r="A33" s="19" t="inlineStr">
        <is>
          <t>2024-09</t>
        </is>
      </c>
      <c r="B33" s="34" t="inlineStr">
        <is>
          <t>DHS PM Support</t>
        </is>
      </c>
      <c r="C33" s="34" t="inlineStr">
        <is>
          <t>T&amp;M</t>
        </is>
      </c>
      <c r="D33" s="32" t="n">
        <v>97181.00999999999</v>
      </c>
      <c r="E33" s="33" t="n">
        <v>106899.11</v>
      </c>
      <c r="F33" s="33">
        <f>F33-E33</f>
        <v/>
      </c>
      <c r="G33" s="50">
        <f>G33/F33</f>
        <v/>
      </c>
      <c r="H33" s="34" t="inlineStr"/>
      <c r="I33" s="34" t="inlineStr"/>
    </row>
    <row r="34" ht="15" customHeight="1">
      <c r="A34" s="14" t="inlineStr">
        <is>
          <t>2024-10</t>
        </is>
      </c>
      <c r="B34" s="38" t="inlineStr">
        <is>
          <t>DHS PM Support</t>
        </is>
      </c>
      <c r="C34" s="38" t="inlineStr">
        <is>
          <t>T&amp;M</t>
        </is>
      </c>
      <c r="D34" s="36" t="n">
        <v>75206.73</v>
      </c>
      <c r="E34" s="37" t="n">
        <v>82727.39999999999</v>
      </c>
      <c r="F34" s="37">
        <f>F34-E34</f>
        <v/>
      </c>
      <c r="G34" s="49">
        <f>G34/F34</f>
        <v/>
      </c>
      <c r="H34" s="38" t="inlineStr"/>
      <c r="I34" s="38" t="inlineStr"/>
    </row>
    <row r="35" ht="15" customHeight="1">
      <c r="A35" s="19" t="inlineStr">
        <is>
          <t>2024-11</t>
        </is>
      </c>
      <c r="B35" s="34" t="inlineStr">
        <is>
          <t>DHS PM Support</t>
        </is>
      </c>
      <c r="C35" s="34" t="inlineStr">
        <is>
          <t>T&amp;M</t>
        </is>
      </c>
      <c r="D35" s="32" t="n">
        <v>47516.84</v>
      </c>
      <c r="E35" s="33" t="n">
        <v>52268.52</v>
      </c>
      <c r="F35" s="33">
        <f>F35-E35</f>
        <v/>
      </c>
      <c r="G35" s="50">
        <f>G35/F35</f>
        <v/>
      </c>
      <c r="H35" s="34" t="inlineStr"/>
      <c r="I35" s="34" t="inlineStr"/>
    </row>
    <row r="36" ht="15" customHeight="1">
      <c r="A36" s="14" t="inlineStr">
        <is>
          <t>2024-12</t>
        </is>
      </c>
      <c r="B36" s="38" t="inlineStr">
        <is>
          <t>DHS PM Support</t>
        </is>
      </c>
      <c r="C36" s="38" t="inlineStr">
        <is>
          <t>T&amp;M</t>
        </is>
      </c>
      <c r="D36" s="36" t="n">
        <v>19106.43</v>
      </c>
      <c r="E36" s="37" t="n">
        <v>21017.07</v>
      </c>
      <c r="F36" s="37">
        <f>F36-E36</f>
        <v/>
      </c>
      <c r="G36" s="49">
        <f>G36/F36</f>
        <v/>
      </c>
      <c r="H36" s="38" t="inlineStr"/>
      <c r="I36" s="38" t="inlineStr"/>
    </row>
    <row r="37" ht="15" customHeight="1">
      <c r="A37" s="19" t="inlineStr">
        <is>
          <t>2024-01</t>
        </is>
      </c>
      <c r="B37" s="34" t="inlineStr">
        <is>
          <t>NIH Hosting</t>
        </is>
      </c>
      <c r="C37" s="34" t="inlineStr">
        <is>
          <t>FFP</t>
        </is>
      </c>
      <c r="D37" s="32" t="n">
        <v>211798.91</v>
      </c>
      <c r="E37" s="33" t="n">
        <v>237214.78</v>
      </c>
      <c r="F37" s="33">
        <f>F37-E37</f>
        <v/>
      </c>
      <c r="G37" s="50">
        <f>G37/F37</f>
        <v/>
      </c>
      <c r="H37" s="34" t="inlineStr"/>
      <c r="I37" s="34" t="inlineStr"/>
    </row>
    <row r="38" ht="15" customHeight="1">
      <c r="A38" s="14" t="inlineStr">
        <is>
          <t>2024-02</t>
        </is>
      </c>
      <c r="B38" s="38" t="inlineStr">
        <is>
          <t>NIH Hosting</t>
        </is>
      </c>
      <c r="C38" s="38" t="inlineStr">
        <is>
          <t>FFP</t>
        </is>
      </c>
      <c r="D38" s="36" t="n">
        <v>252780.31</v>
      </c>
      <c r="E38" s="37" t="n">
        <v>283113.95</v>
      </c>
      <c r="F38" s="37">
        <f>F38-E38</f>
        <v/>
      </c>
      <c r="G38" s="49">
        <f>G38/F38</f>
        <v/>
      </c>
      <c r="H38" s="38" t="inlineStr"/>
      <c r="I38" s="38" t="inlineStr"/>
    </row>
    <row r="39" ht="15" customHeight="1">
      <c r="A39" s="19" t="inlineStr">
        <is>
          <t>2024-03</t>
        </is>
      </c>
      <c r="B39" s="34" t="inlineStr">
        <is>
          <t>NIH Hosting</t>
        </is>
      </c>
      <c r="C39" s="34" t="inlineStr">
        <is>
          <t>FFP</t>
        </is>
      </c>
      <c r="D39" s="32" t="n">
        <v>277339.87</v>
      </c>
      <c r="E39" s="33" t="n">
        <v>310620.65</v>
      </c>
      <c r="F39" s="33">
        <f>F39-E39</f>
        <v/>
      </c>
      <c r="G39" s="50">
        <f>G39/F39</f>
        <v/>
      </c>
      <c r="H39" s="34" t="inlineStr"/>
      <c r="I39" s="34" t="inlineStr"/>
    </row>
    <row r="40" ht="15" customHeight="1">
      <c r="A40" s="14" t="inlineStr">
        <is>
          <t>2024-04</t>
        </is>
      </c>
      <c r="B40" s="38" t="inlineStr">
        <is>
          <t>NIH Hosting</t>
        </is>
      </c>
      <c r="C40" s="38" t="inlineStr">
        <is>
          <t>FFP</t>
        </is>
      </c>
      <c r="D40" s="36" t="n">
        <v>318989.39</v>
      </c>
      <c r="E40" s="37" t="n">
        <v>357268.12</v>
      </c>
      <c r="F40" s="37">
        <f>F40-E40</f>
        <v/>
      </c>
      <c r="G40" s="49">
        <f>G40/F40</f>
        <v/>
      </c>
      <c r="H40" s="38" t="inlineStr"/>
      <c r="I40" s="38" t="inlineStr"/>
    </row>
    <row r="41" ht="15" customHeight="1">
      <c r="A41" s="19" t="inlineStr">
        <is>
          <t>2024-05</t>
        </is>
      </c>
      <c r="B41" s="34" t="inlineStr">
        <is>
          <t>NIH Hosting</t>
        </is>
      </c>
      <c r="C41" s="34" t="inlineStr">
        <is>
          <t>FFP</t>
        </is>
      </c>
      <c r="D41" s="32" t="n">
        <v>320724.69</v>
      </c>
      <c r="E41" s="33" t="n">
        <v>359211.65</v>
      </c>
      <c r="F41" s="33">
        <f>F41-E41</f>
        <v/>
      </c>
      <c r="G41" s="50">
        <f>G41/F41</f>
        <v/>
      </c>
      <c r="H41" s="34" t="inlineStr"/>
      <c r="I41" s="34" t="inlineStr"/>
    </row>
    <row r="42" ht="15" customHeight="1">
      <c r="A42" s="14" t="inlineStr">
        <is>
          <t>2024-06</t>
        </is>
      </c>
      <c r="B42" s="38" t="inlineStr">
        <is>
          <t>NIH Hosting</t>
        </is>
      </c>
      <c r="C42" s="38" t="inlineStr">
        <is>
          <t>FFP</t>
        </is>
      </c>
      <c r="D42" s="36" t="n">
        <v>342895.98</v>
      </c>
      <c r="E42" s="37" t="n">
        <v>384043.5</v>
      </c>
      <c r="F42" s="37">
        <f>F42-E42</f>
        <v/>
      </c>
      <c r="G42" s="49">
        <f>G42/F42</f>
        <v/>
      </c>
      <c r="H42" s="38" t="inlineStr"/>
      <c r="I42" s="38" t="inlineStr"/>
    </row>
    <row r="43" ht="15" customHeight="1">
      <c r="A43" s="19" t="inlineStr">
        <is>
          <t>2024-07</t>
        </is>
      </c>
      <c r="B43" s="34" t="inlineStr">
        <is>
          <t>NIH Hosting</t>
        </is>
      </c>
      <c r="C43" s="34" t="inlineStr">
        <is>
          <t>FFP</t>
        </is>
      </c>
      <c r="D43" s="32" t="n">
        <v>356733.91</v>
      </c>
      <c r="E43" s="33" t="n">
        <v>399541.98</v>
      </c>
      <c r="F43" s="33">
        <f>F43-E43</f>
        <v/>
      </c>
      <c r="G43" s="50">
        <f>G43/F43</f>
        <v/>
      </c>
      <c r="H43" s="34" t="inlineStr"/>
      <c r="I43" s="34" t="inlineStr"/>
    </row>
    <row r="44" ht="15" customHeight="1">
      <c r="A44" s="14" t="inlineStr">
        <is>
          <t>2024-08</t>
        </is>
      </c>
      <c r="B44" s="38" t="inlineStr">
        <is>
          <t>NIH Hosting</t>
        </is>
      </c>
      <c r="C44" s="38" t="inlineStr">
        <is>
          <t>FFP</t>
        </is>
      </c>
      <c r="D44" s="36" t="n">
        <v>380551.53</v>
      </c>
      <c r="E44" s="37" t="n">
        <v>426217.71</v>
      </c>
      <c r="F44" s="37">
        <f>F44-E44</f>
        <v/>
      </c>
      <c r="G44" s="49">
        <f>G44/F44</f>
        <v/>
      </c>
      <c r="H44" s="38" t="inlineStr"/>
      <c r="I44" s="38" t="inlineStr"/>
    </row>
    <row r="45" ht="15" customHeight="1">
      <c r="A45" s="19" t="inlineStr">
        <is>
          <t>2024-09</t>
        </is>
      </c>
      <c r="B45" s="34" t="inlineStr">
        <is>
          <t>NIH Hosting</t>
        </is>
      </c>
      <c r="C45" s="34" t="inlineStr">
        <is>
          <t>FFP</t>
        </is>
      </c>
      <c r="D45" s="32" t="n">
        <v>343354.73</v>
      </c>
      <c r="E45" s="33" t="n">
        <v>384557.3</v>
      </c>
      <c r="F45" s="33">
        <f>F45-E45</f>
        <v/>
      </c>
      <c r="G45" s="50">
        <f>G45/F45</f>
        <v/>
      </c>
      <c r="H45" s="34" t="inlineStr"/>
      <c r="I45" s="34" t="inlineStr"/>
    </row>
    <row r="46" ht="15" customHeight="1">
      <c r="A46" s="14" t="inlineStr">
        <is>
          <t>2024-10</t>
        </is>
      </c>
      <c r="B46" s="38" t="inlineStr">
        <is>
          <t>NIH Hosting</t>
        </is>
      </c>
      <c r="C46" s="38" t="inlineStr">
        <is>
          <t>FFP</t>
        </is>
      </c>
      <c r="D46" s="36" t="n">
        <v>365152.19</v>
      </c>
      <c r="E46" s="37" t="n">
        <v>408970.45</v>
      </c>
      <c r="F46" s="37">
        <f>F46-E46</f>
        <v/>
      </c>
      <c r="G46" s="49">
        <f>G46/F46</f>
        <v/>
      </c>
      <c r="H46" s="38" t="inlineStr"/>
      <c r="I46" s="38" t="inlineStr"/>
    </row>
    <row r="47" ht="15" customHeight="1">
      <c r="A47" s="19" t="inlineStr">
        <is>
          <t>2024-11</t>
        </is>
      </c>
      <c r="B47" s="34" t="inlineStr">
        <is>
          <t>NIH Hosting</t>
        </is>
      </c>
      <c r="C47" s="34" t="inlineStr">
        <is>
          <t>FFP</t>
        </is>
      </c>
      <c r="D47" s="32" t="n">
        <v>219339.12</v>
      </c>
      <c r="E47" s="33" t="n">
        <v>245659.81</v>
      </c>
      <c r="F47" s="33">
        <f>F47-E47</f>
        <v/>
      </c>
      <c r="G47" s="50">
        <f>G47/F47</f>
        <v/>
      </c>
      <c r="H47" s="34" t="inlineStr"/>
      <c r="I47" s="34" t="inlineStr"/>
    </row>
    <row r="48" ht="15" customHeight="1">
      <c r="A48" s="14" t="inlineStr">
        <is>
          <t>2024-12</t>
        </is>
      </c>
      <c r="B48" s="38" t="inlineStr">
        <is>
          <t>NIH Hosting</t>
        </is>
      </c>
      <c r="C48" s="38" t="inlineStr">
        <is>
          <t>FFP</t>
        </is>
      </c>
      <c r="D48" s="36" t="n">
        <v>144674.97</v>
      </c>
      <c r="E48" s="37" t="n">
        <v>162035.97</v>
      </c>
      <c r="F48" s="37">
        <f>F48-E48</f>
        <v/>
      </c>
      <c r="G48" s="49">
        <f>G48/F48</f>
        <v/>
      </c>
      <c r="H48" s="38" t="inlineStr"/>
      <c r="I48" s="38" t="inlineStr"/>
    </row>
    <row r="49" ht="18" customHeight="1">
      <c r="A49" s="39" t="inlineStr">
        <is>
          <t>TOTAL</t>
        </is>
      </c>
      <c r="B49" s="40" t="inlineStr"/>
      <c r="C49" s="40" t="inlineStr"/>
      <c r="D49" s="41">
        <f>SUM(D13:D48)</f>
        <v/>
      </c>
      <c r="E49" s="41">
        <f>SUM(E13:E48)</f>
        <v/>
      </c>
      <c r="F49" s="41">
        <f>SUM(F13:F48)</f>
        <v/>
      </c>
      <c r="G49" s="59">
        <f>G49/F49</f>
        <v/>
      </c>
      <c r="H49" s="40" t="inlineStr"/>
      <c r="I49" s="40" t="inlineStr"/>
    </row>
    <row r="50" ht="8" customHeight="1"/>
    <row r="51" ht="28" customHeight="1">
      <c r="A51" s="56" t="inlineStr">
        <is>
          <t>Analyst Note: Cost incurred (blue) is synthetic data modeled from real USASpending.gov award ceilings. Revenue and margin are formula-driven from cost and fee rates in Indirect_Rates tab.</t>
        </is>
      </c>
    </row>
  </sheetData>
  <mergeCells count="5">
    <mergeCell ref="A2:I2"/>
    <mergeCell ref="A51:I51"/>
    <mergeCell ref="A11:I11"/>
    <mergeCell ref="A1:I1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2026-04-30T21:56:58Z</dcterms:created>
  <dcterms:modified xmlns:dcterms="http://purl.org/dc/terms/" xmlns:xsi="http://www.w3.org/2001/XMLSchema-instance" xsi:type="dcterms:W3CDTF">2026-04-30T21:56:58Z</dcterms:modified>
</cp:coreProperties>
</file>